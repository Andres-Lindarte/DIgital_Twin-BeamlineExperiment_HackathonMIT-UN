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0" windowWidth="15315" windowHeight="7995"/>
  </bookViews>
  <sheets>
    <sheet name="Sheet1" sheetId="1" r:id="rId1"/>
    <sheet name="Sheet2" sheetId="2" r:id="rId2"/>
    <sheet name="Sheet3" sheetId="3" r:id="rId3"/>
  </sheets>
  <definedNames>
    <definedName name="B_">Sheet1!$B$16</definedName>
    <definedName name="epsilon_">Sheet1!$B$21</definedName>
    <definedName name="epsilon1_">Sheet1!$B$22</definedName>
    <definedName name="epsilon2_">Sheet1!$B$23</definedName>
    <definedName name="f_">Sheet1!$B$8</definedName>
    <definedName name="fi_">Sheet1!$B$25</definedName>
    <definedName name="fr_">Sheet1!$B$37</definedName>
    <definedName name="fz_">Sheet1!$B$41</definedName>
    <definedName name="g_">Sheet1!$B$9</definedName>
    <definedName name="g1i_">Sheet1!$B$26</definedName>
    <definedName name="g2i_">Sheet1!$B$27</definedName>
    <definedName name="gr_">Sheet1!$B$38</definedName>
    <definedName name="gz_">Sheet1!$B$42</definedName>
    <definedName name="KE_">Sheet1!$B$18</definedName>
    <definedName name="L_">Sheet1!$B$11</definedName>
    <definedName name="L1_">Sheet1!$B$12</definedName>
    <definedName name="L1i_">Sheet1!$B$31</definedName>
    <definedName name="L2_">Sheet1!$B$13</definedName>
    <definedName name="L2i_">Sheet1!$B$32</definedName>
    <definedName name="Li_">Sheet1!$B$30</definedName>
    <definedName name="m_">Sheet1!$B$17</definedName>
    <definedName name="n_">Sheet1!$B$36</definedName>
    <definedName name="nu_">Sheet1!$B$7</definedName>
    <definedName name="nur_">Sheet1!$B$40</definedName>
    <definedName name="Omega_">Sheet1!$B$24</definedName>
    <definedName name="p_">Sheet1!$B$10</definedName>
    <definedName name="p1i_">Sheet1!$B$28</definedName>
    <definedName name="p2i_">Sheet1!$B$29</definedName>
    <definedName name="phi_">Sheet1!$B$6</definedName>
    <definedName name="pr_">Sheet1!$B$39</definedName>
    <definedName name="pz_">Sheet1!$B$43</definedName>
    <definedName name="r_">Sheet1!$B$5</definedName>
    <definedName name="rr_">Sheet1!$B$35</definedName>
  </definedNames>
  <calcPr calcId="125725"/>
</workbook>
</file>

<file path=xl/calcChain.xml><?xml version="1.0" encoding="utf-8"?>
<calcChain xmlns="http://schemas.openxmlformats.org/spreadsheetml/2006/main">
  <c r="B18" i="1"/>
  <c r="B36"/>
  <c r="B37" s="1"/>
  <c r="B21"/>
  <c r="B22" s="1"/>
  <c r="B10"/>
  <c r="B9"/>
  <c r="B8"/>
  <c r="B11" s="1"/>
  <c r="B12" s="1"/>
  <c r="B7"/>
  <c r="B13" l="1"/>
  <c r="B42"/>
  <c r="B41"/>
  <c r="B40"/>
  <c r="B38"/>
  <c r="B39" s="1"/>
  <c r="B24"/>
  <c r="B25" s="1"/>
  <c r="B23"/>
  <c r="B30" l="1"/>
  <c r="B31" s="1"/>
  <c r="B32" s="1"/>
  <c r="B43"/>
  <c r="B26"/>
  <c r="B28" s="1"/>
  <c r="B27"/>
  <c r="B29" s="1"/>
</calcChain>
</file>

<file path=xl/sharedStrings.xml><?xml version="1.0" encoding="utf-8"?>
<sst xmlns="http://schemas.openxmlformats.org/spreadsheetml/2006/main" count="142" uniqueCount="85">
  <si>
    <t>degrees</t>
  </si>
  <si>
    <t>length</t>
  </si>
  <si>
    <t>dispersion angle</t>
  </si>
  <si>
    <t>dispersion radius</t>
  </si>
  <si>
    <t>unitless</t>
  </si>
  <si>
    <t>dispersion factor</t>
  </si>
  <si>
    <t>r_</t>
  </si>
  <si>
    <t>f_</t>
  </si>
  <si>
    <t>g_</t>
  </si>
  <si>
    <t>p_</t>
  </si>
  <si>
    <t>L1_</t>
  </si>
  <si>
    <t>L2_</t>
  </si>
  <si>
    <t>phi_</t>
  </si>
  <si>
    <t>L_</t>
  </si>
  <si>
    <t>focal length, g+p</t>
  </si>
  <si>
    <t>principle plane to edge</t>
  </si>
  <si>
    <t>focal point to edge</t>
  </si>
  <si>
    <t>L if L=L1=L2</t>
  </si>
  <si>
    <t>epsilon_</t>
  </si>
  <si>
    <t>epsilon1_</t>
  </si>
  <si>
    <t>epsilon2_</t>
  </si>
  <si>
    <t>Omega_</t>
  </si>
  <si>
    <t>fi_</t>
  </si>
  <si>
    <t>g1i_</t>
  </si>
  <si>
    <t>g2i_</t>
  </si>
  <si>
    <t>p1i_</t>
  </si>
  <si>
    <t>p2i_</t>
  </si>
  <si>
    <t>nu_</t>
  </si>
  <si>
    <t>Fig 3.9</t>
  </si>
  <si>
    <t>Eq 3.14</t>
  </si>
  <si>
    <t>Eq 3.18</t>
  </si>
  <si>
    <t>Eq 3.8</t>
  </si>
  <si>
    <t>epsilon if epsilon=epsilon1=epsilon2</t>
  </si>
  <si>
    <t>entrance angle</t>
  </si>
  <si>
    <t>exit angle</t>
  </si>
  <si>
    <t>rr_</t>
  </si>
  <si>
    <t>optic axis to tangent intersection point</t>
  </si>
  <si>
    <t>n_</t>
  </si>
  <si>
    <t>Eq 3.21</t>
  </si>
  <si>
    <t>fr_</t>
  </si>
  <si>
    <t>gr_</t>
  </si>
  <si>
    <t>pr_</t>
  </si>
  <si>
    <t>fz_</t>
  </si>
  <si>
    <t>gz_</t>
  </si>
  <si>
    <t>pz_</t>
  </si>
  <si>
    <t>nur_</t>
  </si>
  <si>
    <t>Eq 3.24a</t>
  </si>
  <si>
    <t>Eq 3.24b</t>
  </si>
  <si>
    <t>Eq 3.24c</t>
  </si>
  <si>
    <t>Eq 3.24d</t>
  </si>
  <si>
    <t>Eq 3.24f</t>
  </si>
  <si>
    <t>Eq 3.24g</t>
  </si>
  <si>
    <t>Eq 3.24h</t>
  </si>
  <si>
    <t>r/rr ratio (0=parallel, 1/2=stigmatic)</t>
  </si>
  <si>
    <t>Eq 3.7</t>
  </si>
  <si>
    <t>Fig 3.2</t>
  </si>
  <si>
    <t>Fig 3.13</t>
  </si>
  <si>
    <t>sector angle'</t>
  </si>
  <si>
    <t>Case of sector with parallel faces (uniform field) and normal boundaries</t>
  </si>
  <si>
    <t>Case of sector with parallel faces (uniform field) and inclinded ("i") boundaries</t>
  </si>
  <si>
    <t>Excel worksheet to calculate magnetic sector focal properties.</t>
  </si>
  <si>
    <t>Equations based on Liebl2007.  From SIMION 8.1 "magnetic_sector" example.  DM201202.</t>
  </si>
  <si>
    <t>Sect 3.4</t>
  </si>
  <si>
    <t>Sect 3.3</t>
  </si>
  <si>
    <t>Sec 3.2</t>
  </si>
  <si>
    <t>object to principle plane</t>
  </si>
  <si>
    <t>image to principle plane</t>
  </si>
  <si>
    <t>Variables postfixed by _ to avoid conflicts with Excel reserved names.</t>
  </si>
  <si>
    <t>Excel notes:</t>
  </si>
  <si>
    <t>CTRL+` to toggle show all equations (simpler than http://dmcritchie.mvps.org/excel/formula.htm )</t>
  </si>
  <si>
    <t>Li_</t>
  </si>
  <si>
    <t>L1i_</t>
  </si>
  <si>
    <t>L2i_</t>
  </si>
  <si>
    <t>eV</t>
  </si>
  <si>
    <t>KE_</t>
  </si>
  <si>
    <t>B_</t>
  </si>
  <si>
    <t>Gauss</t>
  </si>
  <si>
    <t>magnetic field, Gauss</t>
  </si>
  <si>
    <t>m_</t>
  </si>
  <si>
    <t>u</t>
  </si>
  <si>
    <t>particle mass</t>
  </si>
  <si>
    <t>particle traveling on optic axis</t>
  </si>
  <si>
    <t>Eq 3.2</t>
  </si>
  <si>
    <t>particle energy; note 4 decimal accuracy</t>
  </si>
  <si>
    <t>Case of sector with conical faces (nonuniform field); focus in radial "r" &amp; axial "z" directions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</si>
</sst>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topLeftCell="A10" workbookViewId="0">
      <selection activeCell="D26" sqref="D26"/>
    </sheetView>
  </sheetViews>
  <sheetFormatPr defaultRowHeight="15"/>
  <cols>
    <col min="2" max="2" width="15" customWidth="1"/>
    <col min="4" max="4" width="38.85546875" customWidth="1"/>
  </cols>
  <sheetData>
    <row r="1" spans="1:5">
      <c r="A1" t="s">
        <v>60</v>
      </c>
    </row>
    <row r="2" spans="1:5">
      <c r="A2" t="s">
        <v>61</v>
      </c>
    </row>
    <row r="4" spans="1:5">
      <c r="A4" t="s">
        <v>58</v>
      </c>
      <c r="E4" t="s">
        <v>64</v>
      </c>
    </row>
    <row r="5" spans="1:5">
      <c r="A5" t="s">
        <v>6</v>
      </c>
      <c r="B5">
        <v>25</v>
      </c>
      <c r="C5" t="s">
        <v>1</v>
      </c>
      <c r="D5" t="s">
        <v>3</v>
      </c>
      <c r="E5" t="s">
        <v>55</v>
      </c>
    </row>
    <row r="6" spans="1:5">
      <c r="A6" t="s">
        <v>12</v>
      </c>
      <c r="B6">
        <v>90</v>
      </c>
      <c r="C6" t="s">
        <v>0</v>
      </c>
      <c r="D6" t="s">
        <v>2</v>
      </c>
      <c r="E6" t="s">
        <v>55</v>
      </c>
    </row>
    <row r="7" spans="1:5">
      <c r="A7" t="s">
        <v>27</v>
      </c>
      <c r="B7">
        <f>(1/2)*SIN(RADIANS(phi_))</f>
        <v>0.5</v>
      </c>
      <c r="C7" t="s">
        <v>4</v>
      </c>
      <c r="D7" t="s">
        <v>5</v>
      </c>
      <c r="E7" t="s">
        <v>54</v>
      </c>
    </row>
    <row r="8" spans="1:5">
      <c r="A8" t="s">
        <v>7</v>
      </c>
      <c r="B8">
        <f>r_/SIN(RADIANS(phi_))</f>
        <v>25</v>
      </c>
      <c r="C8" t="s">
        <v>1</v>
      </c>
      <c r="D8" t="s">
        <v>14</v>
      </c>
      <c r="E8" t="s">
        <v>54</v>
      </c>
    </row>
    <row r="9" spans="1:5">
      <c r="A9" t="s">
        <v>8</v>
      </c>
      <c r="B9">
        <f>r_/TAN(RADIANS(phi_))</f>
        <v>1.531435568635775E-15</v>
      </c>
      <c r="C9" t="s">
        <v>1</v>
      </c>
      <c r="D9" t="s">
        <v>16</v>
      </c>
      <c r="E9" t="s">
        <v>54</v>
      </c>
    </row>
    <row r="10" spans="1:5">
      <c r="A10" t="s">
        <v>9</v>
      </c>
      <c r="B10">
        <f>r_*TAN(RADIANS(phi_/2))</f>
        <v>24.999999999999996</v>
      </c>
      <c r="C10" t="s">
        <v>1</v>
      </c>
      <c r="D10" t="s">
        <v>15</v>
      </c>
      <c r="E10" t="s">
        <v>54</v>
      </c>
    </row>
    <row r="11" spans="1:5">
      <c r="A11" t="s">
        <v>13</v>
      </c>
      <c r="B11">
        <f>2*f_</f>
        <v>50</v>
      </c>
      <c r="C11" t="s">
        <v>1</v>
      </c>
      <c r="D11" t="s">
        <v>17</v>
      </c>
      <c r="E11" t="s">
        <v>31</v>
      </c>
    </row>
    <row r="12" spans="1:5">
      <c r="A12" t="s">
        <v>10</v>
      </c>
      <c r="B12">
        <f>L_</f>
        <v>50</v>
      </c>
      <c r="C12" t="s">
        <v>1</v>
      </c>
      <c r="D12" t="s">
        <v>65</v>
      </c>
      <c r="E12" t="s">
        <v>55</v>
      </c>
    </row>
    <row r="13" spans="1:5">
      <c r="A13" t="s">
        <v>11</v>
      </c>
      <c r="B13">
        <f>L1_/(L1_/f_-1)</f>
        <v>50</v>
      </c>
      <c r="C13" t="s">
        <v>1</v>
      </c>
      <c r="D13" t="s">
        <v>66</v>
      </c>
      <c r="E13" t="s">
        <v>31</v>
      </c>
    </row>
    <row r="15" spans="1:5">
      <c r="A15" t="s">
        <v>81</v>
      </c>
    </row>
    <row r="16" spans="1:5">
      <c r="A16" t="s">
        <v>75</v>
      </c>
      <c r="B16">
        <v>1000</v>
      </c>
      <c r="C16" t="s">
        <v>76</v>
      </c>
      <c r="D16" t="s">
        <v>77</v>
      </c>
    </row>
    <row r="17" spans="1:5">
      <c r="A17" t="s">
        <v>78</v>
      </c>
      <c r="B17">
        <v>10</v>
      </c>
      <c r="C17" t="s">
        <v>79</v>
      </c>
      <c r="D17" t="s">
        <v>80</v>
      </c>
    </row>
    <row r="18" spans="1:5">
      <c r="A18" t="s">
        <v>74</v>
      </c>
      <c r="B18">
        <f>((r_*0.1)*B_/143.6)^2/m_</f>
        <v>30.308967186784713</v>
      </c>
      <c r="C18" t="s">
        <v>73</v>
      </c>
      <c r="D18" t="s">
        <v>83</v>
      </c>
      <c r="E18" t="s">
        <v>82</v>
      </c>
    </row>
    <row r="20" spans="1:5">
      <c r="A20" t="s">
        <v>59</v>
      </c>
      <c r="E20" t="s">
        <v>63</v>
      </c>
    </row>
    <row r="21" spans="1:5">
      <c r="A21" t="s">
        <v>18</v>
      </c>
      <c r="B21">
        <f>DEGREES(ATAN((1/2)*TAN(RADIANS(phi_/2))))</f>
        <v>26.56505117707799</v>
      </c>
      <c r="C21" t="s">
        <v>0</v>
      </c>
      <c r="D21" t="s">
        <v>32</v>
      </c>
      <c r="E21" t="s">
        <v>30</v>
      </c>
    </row>
    <row r="22" spans="1:5">
      <c r="A22" t="s">
        <v>19</v>
      </c>
      <c r="B22">
        <f>epsilon_</f>
        <v>26.56505117707799</v>
      </c>
      <c r="C22" t="s">
        <v>0</v>
      </c>
      <c r="D22" t="s">
        <v>33</v>
      </c>
      <c r="E22" t="s">
        <v>28</v>
      </c>
    </row>
    <row r="23" spans="1:5">
      <c r="A23" t="s">
        <v>20</v>
      </c>
      <c r="B23">
        <f>epsilon1_</f>
        <v>26.56505117707799</v>
      </c>
      <c r="C23" t="s">
        <v>0</v>
      </c>
      <c r="D23" t="s">
        <v>34</v>
      </c>
      <c r="E23" t="s">
        <v>28</v>
      </c>
    </row>
    <row r="24" spans="1:5">
      <c r="A24" t="s">
        <v>21</v>
      </c>
      <c r="B24">
        <f>phi_-epsilon1_-epsilon2_</f>
        <v>36.86989764584402</v>
      </c>
      <c r="C24" t="s">
        <v>0</v>
      </c>
      <c r="D24" t="s">
        <v>57</v>
      </c>
      <c r="E24" t="s">
        <v>28</v>
      </c>
    </row>
    <row r="25" spans="1:5">
      <c r="A25" t="s">
        <v>22</v>
      </c>
      <c r="B25">
        <f>r_*COS(RADIANS(epsilon1_))*COS(RADIANS(epsilon2_))/SIN(RADIANS(Omega_))</f>
        <v>33.333333333333336</v>
      </c>
      <c r="C25" t="s">
        <v>1</v>
      </c>
      <c r="D25" t="s">
        <v>14</v>
      </c>
      <c r="E25" t="s">
        <v>29</v>
      </c>
    </row>
    <row r="26" spans="1:5">
      <c r="A26" t="s">
        <v>23</v>
      </c>
      <c r="B26">
        <f>r_*COS(RADIANS(epsilon1_))*COS(RADIANS(phi_-epsilon2_))/SIN(RADIANS(Omega_))</f>
        <v>16.666666666666675</v>
      </c>
      <c r="C26" t="s">
        <v>1</v>
      </c>
      <c r="D26" t="s">
        <v>16</v>
      </c>
      <c r="E26" t="s">
        <v>29</v>
      </c>
    </row>
    <row r="27" spans="1:5">
      <c r="A27" t="s">
        <v>24</v>
      </c>
      <c r="B27">
        <f>r_*COS(RADIANS(epsilon2_))*COS(RADIANS(phi_-epsilon1_))/SIN(RADIANS(Omega_))</f>
        <v>16.666666666666675</v>
      </c>
      <c r="C27" t="s">
        <v>1</v>
      </c>
      <c r="D27" t="s">
        <v>16</v>
      </c>
      <c r="E27" t="s">
        <v>29</v>
      </c>
    </row>
    <row r="28" spans="1:5">
      <c r="A28" t="s">
        <v>25</v>
      </c>
      <c r="B28">
        <f>fi_-g1i_</f>
        <v>16.666666666666661</v>
      </c>
      <c r="C28" t="s">
        <v>1</v>
      </c>
      <c r="D28" t="s">
        <v>15</v>
      </c>
      <c r="E28" t="s">
        <v>29</v>
      </c>
    </row>
    <row r="29" spans="1:5">
      <c r="A29" t="s">
        <v>26</v>
      </c>
      <c r="B29">
        <f>fi_-g2i_</f>
        <v>16.666666666666661</v>
      </c>
      <c r="C29" t="s">
        <v>1</v>
      </c>
      <c r="D29" t="s">
        <v>15</v>
      </c>
      <c r="E29" t="s">
        <v>29</v>
      </c>
    </row>
    <row r="30" spans="1:5">
      <c r="A30" t="s">
        <v>70</v>
      </c>
      <c r="B30">
        <f>2*fi_</f>
        <v>66.666666666666671</v>
      </c>
      <c r="C30" t="s">
        <v>1</v>
      </c>
      <c r="D30" t="s">
        <v>17</v>
      </c>
      <c r="E30" t="s">
        <v>31</v>
      </c>
    </row>
    <row r="31" spans="1:5">
      <c r="A31" t="s">
        <v>71</v>
      </c>
      <c r="B31">
        <f>Li_</f>
        <v>66.666666666666671</v>
      </c>
      <c r="C31" t="s">
        <v>1</v>
      </c>
      <c r="D31" t="s">
        <v>65</v>
      </c>
      <c r="E31" t="s">
        <v>55</v>
      </c>
    </row>
    <row r="32" spans="1:5">
      <c r="A32" t="s">
        <v>72</v>
      </c>
      <c r="B32">
        <f>L1i_/(L1i_/fi_-1)</f>
        <v>66.666666666666671</v>
      </c>
      <c r="C32" t="s">
        <v>1</v>
      </c>
      <c r="D32" t="s">
        <v>66</v>
      </c>
      <c r="E32" t="s">
        <v>31</v>
      </c>
    </row>
    <row r="34" spans="1:5">
      <c r="A34" t="s">
        <v>84</v>
      </c>
      <c r="E34" t="s">
        <v>62</v>
      </c>
    </row>
    <row r="35" spans="1:5">
      <c r="A35" t="s">
        <v>35</v>
      </c>
      <c r="B35">
        <v>50</v>
      </c>
      <c r="C35" t="s">
        <v>1</v>
      </c>
      <c r="D35" t="s">
        <v>36</v>
      </c>
      <c r="E35" t="s">
        <v>56</v>
      </c>
    </row>
    <row r="36" spans="1:5">
      <c r="A36" t="s">
        <v>37</v>
      </c>
      <c r="B36">
        <f>r_/rr_</f>
        <v>0.5</v>
      </c>
      <c r="C36" t="s">
        <v>4</v>
      </c>
      <c r="D36" t="s">
        <v>53</v>
      </c>
      <c r="E36" t="s">
        <v>38</v>
      </c>
    </row>
    <row r="37" spans="1:5">
      <c r="A37" t="s">
        <v>39</v>
      </c>
      <c r="B37">
        <f>r_/SQRT(1-n_)/SIN(SQRT(1-n_)*RADIANS(phi_))</f>
        <v>39.45824986695979</v>
      </c>
      <c r="C37" t="s">
        <v>1</v>
      </c>
      <c r="D37" t="s">
        <v>14</v>
      </c>
      <c r="E37" t="s">
        <v>46</v>
      </c>
    </row>
    <row r="38" spans="1:5">
      <c r="A38" t="s">
        <v>40</v>
      </c>
      <c r="B38">
        <f>r_/SQRT(1-n_)/TAN(SQRT(1-n_)*RADIANS(phi_))</f>
        <v>17.520087972479843</v>
      </c>
      <c r="C38" t="s">
        <v>1</v>
      </c>
      <c r="D38" t="s">
        <v>16</v>
      </c>
      <c r="E38" t="s">
        <v>47</v>
      </c>
    </row>
    <row r="39" spans="1:5">
      <c r="A39" t="s">
        <v>41</v>
      </c>
      <c r="B39">
        <f>fr_-gr_</f>
        <v>21.938161894479947</v>
      </c>
      <c r="C39" t="s">
        <v>1</v>
      </c>
      <c r="D39" t="s">
        <v>15</v>
      </c>
      <c r="E39" t="s">
        <v>48</v>
      </c>
    </row>
    <row r="40" spans="1:5">
      <c r="A40" t="s">
        <v>45</v>
      </c>
      <c r="B40">
        <f>SIN(SQRT(1-n_)*RADIANS(phi_))</f>
        <v>0.89601893592680659</v>
      </c>
      <c r="C40" t="s">
        <v>4</v>
      </c>
      <c r="D40" t="s">
        <v>5</v>
      </c>
      <c r="E40" t="s">
        <v>49</v>
      </c>
    </row>
    <row r="41" spans="1:5">
      <c r="A41" t="s">
        <v>42</v>
      </c>
      <c r="B41">
        <f>r_/SQRT(n_)/SIN(SQRT(n_)*RADIANS(phi_))</f>
        <v>39.45824986695979</v>
      </c>
      <c r="C41" t="s">
        <v>1</v>
      </c>
      <c r="D41" t="s">
        <v>14</v>
      </c>
      <c r="E41" t="s">
        <v>50</v>
      </c>
    </row>
    <row r="42" spans="1:5">
      <c r="A42" t="s">
        <v>43</v>
      </c>
      <c r="B42">
        <f>r_/SQRT(n_)/TAN(SQRT(n_)*RADIANS(phi_))</f>
        <v>17.520087972479843</v>
      </c>
      <c r="C42" t="s">
        <v>1</v>
      </c>
      <c r="D42" t="s">
        <v>16</v>
      </c>
      <c r="E42" t="s">
        <v>51</v>
      </c>
    </row>
    <row r="43" spans="1:5">
      <c r="A43" t="s">
        <v>44</v>
      </c>
      <c r="B43">
        <f>fz_-gz_</f>
        <v>21.938161894479947</v>
      </c>
      <c r="C43" t="s">
        <v>1</v>
      </c>
      <c r="D43" t="s">
        <v>15</v>
      </c>
      <c r="E43" t="s">
        <v>52</v>
      </c>
    </row>
    <row r="45" spans="1:5">
      <c r="A45" t="s">
        <v>68</v>
      </c>
    </row>
    <row r="46" spans="1:5">
      <c r="A46" t="s">
        <v>69</v>
      </c>
    </row>
    <row r="47" spans="1:5">
      <c r="A47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33</vt:i4>
      </vt:variant>
    </vt:vector>
  </HeadingPairs>
  <TitlesOfParts>
    <vt:vector size="36" baseType="lpstr">
      <vt:lpstr>Sheet1</vt:lpstr>
      <vt:lpstr>Sheet2</vt:lpstr>
      <vt:lpstr>Sheet3</vt:lpstr>
      <vt:lpstr>B_</vt:lpstr>
      <vt:lpstr>epsilon_</vt:lpstr>
      <vt:lpstr>epsilon1_</vt:lpstr>
      <vt:lpstr>epsilon2_</vt:lpstr>
      <vt:lpstr>f_</vt:lpstr>
      <vt:lpstr>fi_</vt:lpstr>
      <vt:lpstr>fr_</vt:lpstr>
      <vt:lpstr>fz_</vt:lpstr>
      <vt:lpstr>g_</vt:lpstr>
      <vt:lpstr>g1i_</vt:lpstr>
      <vt:lpstr>g2i_</vt:lpstr>
      <vt:lpstr>gr_</vt:lpstr>
      <vt:lpstr>gz_</vt:lpstr>
      <vt:lpstr>KE_</vt:lpstr>
      <vt:lpstr>L_</vt:lpstr>
      <vt:lpstr>L1_</vt:lpstr>
      <vt:lpstr>L1i_</vt:lpstr>
      <vt:lpstr>L2_</vt:lpstr>
      <vt:lpstr>L2i_</vt:lpstr>
      <vt:lpstr>Li_</vt:lpstr>
      <vt:lpstr>m_</vt:lpstr>
      <vt:lpstr>n_</vt:lpstr>
      <vt:lpstr>nu_</vt:lpstr>
      <vt:lpstr>nur_</vt:lpstr>
      <vt:lpstr>Omega_</vt:lpstr>
      <vt:lpstr>p_</vt:lpstr>
      <vt:lpstr>p1i_</vt:lpstr>
      <vt:lpstr>p2i_</vt:lpstr>
      <vt:lpstr>phi_</vt:lpstr>
      <vt:lpstr>pr_</vt:lpstr>
      <vt:lpstr>pz_</vt:lpstr>
      <vt:lpstr>r_</vt:lpstr>
      <vt:lpstr>rr_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2012-02-18T05:06:29Z</dcterms:created>
  <dcterms:modified xsi:type="dcterms:W3CDTF">2012-02-18T19:54:27Z</dcterms:modified>
</cp:coreProperties>
</file>