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765" yWindow="270" windowWidth="15480" windowHeight="11445"/>
  </bookViews>
  <sheets>
    <sheet name="Sheet1" sheetId="1" r:id="rId1"/>
    <sheet name="Sheet2" sheetId="2" r:id="rId2"/>
    <sheet name="Sheet3" sheetId="3" r:id="rId3"/>
  </sheets>
  <functionGroups/>
  <definedNames>
    <definedName name="Ã">Sheet1!$A$38</definedName>
    <definedName name="DL">Sheet1!$A$11</definedName>
    <definedName name="DT">Sheet1!$A$12</definedName>
    <definedName name="E">Sheet1!$A$49</definedName>
    <definedName name="EoverN">Sheet1!$A$48</definedName>
    <definedName name="g">Sheet1!$A$39</definedName>
    <definedName name="K">Sheet1!$A$46</definedName>
    <definedName name="kb">Sheet1!$A$32</definedName>
    <definedName name="Ko">Sheet1!$A$41</definedName>
    <definedName name="Kp">Sheet1!$A$50</definedName>
    <definedName name="m">Sheet1!$A$36</definedName>
    <definedName name="m__u">Sheet1!$A$34</definedName>
    <definedName name="mm">Sheet1!$A$37</definedName>
    <definedName name="mm__u">Sheet1!$A$35</definedName>
    <definedName name="N">Sheet1!$A$47</definedName>
    <definedName name="o_ratio">Sheet1!#REF!</definedName>
    <definedName name="q">Sheet1!$A$31</definedName>
    <definedName name="T">Sheet1!$A$33</definedName>
    <definedName name="TL">Sheet1!$A$9</definedName>
    <definedName name="TT">Sheet1!$A$10</definedName>
    <definedName name="V">Sheet1!$A$40</definedName>
    <definedName name="α2">Sheet1!$A$44</definedName>
    <definedName name="α2_Td">Sheet1!$A$42</definedName>
    <definedName name="α4">Sheet1!$A$45</definedName>
    <definedName name="α4_Td">Sheet1!$A$43</definedName>
    <definedName name="β">Sheet1!$H$44</definedName>
    <definedName name="ΔL">Sheet1!$F$44</definedName>
    <definedName name="ΔT">Sheet1!$G$44</definedName>
  </definedNames>
  <calcPr calcId="125725"/>
</workbook>
</file>

<file path=xl/calcChain.xml><?xml version="1.0" encoding="utf-8"?>
<calcChain xmlns="http://schemas.openxmlformats.org/spreadsheetml/2006/main">
  <c r="A48" i="1"/>
  <c r="A44"/>
  <c r="A45"/>
  <c r="B23"/>
  <c r="B20"/>
  <c r="B19"/>
  <c r="B17"/>
  <c r="B50"/>
  <c r="B51"/>
  <c r="B52"/>
  <c r="B29"/>
  <c r="B25"/>
  <c r="B13"/>
  <c r="B18"/>
  <c r="B16"/>
  <c r="B48"/>
  <c r="B46"/>
  <c r="B49"/>
  <c r="B24"/>
  <c r="A50" l="1"/>
  <c r="A52"/>
  <c r="A51"/>
  <c r="A46"/>
  <c r="A29" s="1"/>
  <c r="A49" l="1"/>
  <c r="A53"/>
  <c r="A37"/>
  <c r="A36"/>
  <c r="B57"/>
  <c r="B37"/>
  <c r="B54"/>
  <c r="B12"/>
  <c r="B9"/>
  <c r="B53"/>
  <c r="B56"/>
  <c r="B10"/>
  <c r="B11"/>
  <c r="B36"/>
  <c r="B55"/>
  <c r="A55" l="1"/>
  <c r="A54"/>
  <c r="A56"/>
  <c r="A17" s="1"/>
  <c r="A19" s="1"/>
  <c r="E44"/>
  <c r="A16" l="1"/>
  <c r="A18" s="1"/>
  <c r="A20" s="1"/>
  <c r="H44"/>
  <c r="A57" s="1"/>
  <c r="A9" s="1"/>
  <c r="G44"/>
  <c r="F44"/>
  <c r="A10"/>
  <c r="A24" l="1"/>
  <c r="A23"/>
  <c r="A12"/>
  <c r="A11"/>
  <c r="A25" l="1"/>
  <c r="A13"/>
</calcChain>
</file>

<file path=xl/sharedStrings.xml><?xml version="1.0" encoding="utf-8"?>
<sst xmlns="http://schemas.openxmlformats.org/spreadsheetml/2006/main" count="60" uniqueCount="58">
  <si>
    <r>
      <rPr>
        <i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/(</t>
    </r>
    <r>
      <rPr>
        <i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+M)</t>
    </r>
  </si>
  <si>
    <t>β</t>
  </si>
  <si>
    <r>
      <t>∆</t>
    </r>
    <r>
      <rPr>
        <vertAlign val="subscript"/>
        <sz val="11"/>
        <color theme="1"/>
        <rFont val="Calibri"/>
        <family val="2"/>
      </rPr>
      <t>L</t>
    </r>
  </si>
  <si>
    <r>
      <t>∆</t>
    </r>
    <r>
      <rPr>
        <vertAlign val="subscript"/>
        <sz val="11"/>
        <color theme="1"/>
        <rFont val="Calibri"/>
        <family val="2"/>
      </rPr>
      <t>T</t>
    </r>
  </si>
  <si>
    <t>Longitudinal Temperature</t>
  </si>
  <si>
    <r>
      <t>Longitudinal Diffusion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</si>
  <si>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/D</t>
    </r>
    <r>
      <rPr>
        <vertAlign val="subscript"/>
        <sz val="11"/>
        <color theme="1"/>
        <rFont val="Calibri"/>
        <family val="2"/>
        <scheme val="minor"/>
      </rPr>
      <t>T</t>
    </r>
  </si>
  <si>
    <t>interpolated:</t>
  </si>
  <si>
    <r>
      <t>kT</t>
    </r>
    <r>
      <rPr>
        <vertAlign val="subscript"/>
        <sz val="16"/>
        <color theme="1"/>
        <rFont val="Calibri"/>
        <family val="2"/>
        <scheme val="minor"/>
      </rPr>
      <t>L</t>
    </r>
    <r>
      <rPr>
        <sz val="16"/>
        <color theme="1"/>
        <rFont val="Calibri"/>
        <family val="2"/>
        <scheme val="minor"/>
      </rPr>
      <t xml:space="preserve"> = </t>
    </r>
    <r>
      <rPr>
        <sz val="16"/>
        <color rgb="FFFF0000"/>
        <rFont val="Calibri"/>
        <family val="2"/>
        <scheme val="minor"/>
      </rPr>
      <t>kT</t>
    </r>
    <r>
      <rPr>
        <sz val="16"/>
        <color theme="1"/>
        <rFont val="Calibri"/>
        <family val="2"/>
        <scheme val="minor"/>
      </rPr>
      <t xml:space="preserve"> + </t>
    </r>
    <r>
      <rPr>
        <sz val="16"/>
        <color theme="2" tint="-0.249977111117893"/>
        <rFont val="Calibri"/>
        <family val="2"/>
        <scheme val="minor"/>
      </rPr>
      <t>[4</t>
    </r>
    <r>
      <rPr>
        <i/>
        <sz val="16"/>
        <color theme="2" tint="-0.249977111117893"/>
        <rFont val="Calibri"/>
        <family val="2"/>
        <scheme val="minor"/>
      </rPr>
      <t>m</t>
    </r>
    <r>
      <rPr>
        <sz val="16"/>
        <color theme="2" tint="-0.249977111117893"/>
        <rFont val="Calibri"/>
        <family val="2"/>
        <scheme val="minor"/>
      </rPr>
      <t>-(2</t>
    </r>
    <r>
      <rPr>
        <i/>
        <sz val="16"/>
        <color theme="2" tint="-0.249977111117893"/>
        <rFont val="Calibri"/>
        <family val="2"/>
        <scheme val="minor"/>
      </rPr>
      <t>m</t>
    </r>
    <r>
      <rPr>
        <sz val="16"/>
        <color theme="2" tint="-0.249977111117893"/>
        <rFont val="Calibri"/>
        <family val="2"/>
        <scheme val="minor"/>
      </rPr>
      <t>-M)</t>
    </r>
    <r>
      <rPr>
        <sz val="16"/>
        <color theme="2" tint="-0.249977111117893"/>
        <rFont val="Calibri"/>
        <family val="2"/>
      </rPr>
      <t>Ã]</t>
    </r>
    <r>
      <rPr>
        <sz val="16"/>
        <color theme="1"/>
        <rFont val="Calibri"/>
        <family val="2"/>
        <scheme val="minor"/>
      </rPr>
      <t>/</t>
    </r>
    <r>
      <rPr>
        <sz val="16"/>
        <color theme="3" tint="0.39997558519241921"/>
        <rFont val="Calibri"/>
        <family val="2"/>
        <scheme val="minor"/>
      </rPr>
      <t>[4</t>
    </r>
    <r>
      <rPr>
        <i/>
        <sz val="16"/>
        <color theme="3" tint="0.39997558519241921"/>
        <rFont val="Calibri"/>
        <family val="2"/>
        <scheme val="minor"/>
      </rPr>
      <t>m</t>
    </r>
    <r>
      <rPr>
        <sz val="16"/>
        <color theme="3" tint="0.39997558519241921"/>
        <rFont val="Calibri"/>
        <family val="2"/>
        <scheme val="minor"/>
      </rPr>
      <t xml:space="preserve"> + 3M</t>
    </r>
    <r>
      <rPr>
        <sz val="16"/>
        <color theme="3" tint="0.39997558519241921"/>
        <rFont val="Calibri"/>
        <family val="2"/>
      </rPr>
      <t>Ã</t>
    </r>
    <r>
      <rPr>
        <sz val="16"/>
        <color theme="1"/>
        <rFont val="Calibri"/>
        <family val="2"/>
        <scheme val="minor"/>
      </rPr>
      <t>]</t>
    </r>
    <r>
      <rPr>
        <sz val="16"/>
        <color theme="9"/>
        <rFont val="Calibri"/>
        <family val="2"/>
        <scheme val="minor"/>
      </rPr>
      <t>Mv</t>
    </r>
    <r>
      <rPr>
        <vertAlign val="subscript"/>
        <sz val="16"/>
        <color theme="9"/>
        <rFont val="Calibri"/>
        <family val="2"/>
        <scheme val="minor"/>
      </rPr>
      <t>d</t>
    </r>
    <r>
      <rPr>
        <vertAlign val="superscript"/>
        <sz val="16"/>
        <color theme="9"/>
        <rFont val="Calibri"/>
        <family val="2"/>
        <scheme val="minor"/>
      </rPr>
      <t>2</t>
    </r>
    <r>
      <rPr>
        <sz val="16"/>
        <color theme="1"/>
        <rFont val="Calibri"/>
        <family val="2"/>
        <scheme val="minor"/>
      </rPr>
      <t>(</t>
    </r>
    <r>
      <rPr>
        <sz val="16"/>
        <color rgb="FF00B050"/>
        <rFont val="Calibri"/>
        <family val="2"/>
        <scheme val="minor"/>
      </rPr>
      <t>1+</t>
    </r>
    <r>
      <rPr>
        <sz val="16"/>
        <color rgb="FF00B050"/>
        <rFont val="Calibri"/>
        <family val="2"/>
      </rPr>
      <t>βK'</t>
    </r>
    <r>
      <rPr>
        <sz val="16"/>
        <color theme="1"/>
        <rFont val="Calibri"/>
        <family val="2"/>
      </rPr>
      <t>)</t>
    </r>
  </si>
  <si>
    <t xml:space="preserve"> = q (C)</t>
  </si>
  <si>
    <t xml:space="preserve"> = T (K)</t>
  </si>
  <si>
    <r>
      <t xml:space="preserve"> = </t>
    </r>
    <r>
      <rPr>
        <i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 (u)</t>
    </r>
  </si>
  <si>
    <t xml:space="preserve"> = M (u)</t>
  </si>
  <si>
    <r>
      <t xml:space="preserve"> = Ã (σ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>/σ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</si>
  <si>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 xml:space="preserve"> = g (m)</t>
  </si>
  <si>
    <r>
      <t xml:space="preserve"> = K</t>
    </r>
    <r>
      <rPr>
        <vertAlign val="subscript"/>
        <sz val="11"/>
        <color theme="1"/>
        <rFont val="Calibri"/>
        <family val="2"/>
      </rPr>
      <t>o</t>
    </r>
    <r>
      <rPr>
        <sz val="11"/>
        <color theme="1"/>
        <rFont val="Calibri"/>
        <family val="2"/>
      </rPr>
      <t xml:space="preserve"> (V.m</t>
    </r>
    <r>
      <rPr>
        <vertAlign val="superscript"/>
        <sz val="11"/>
        <color theme="1"/>
        <rFont val="Calibri"/>
        <family val="2"/>
      </rPr>
      <t>-2</t>
    </r>
    <r>
      <rPr>
        <sz val="11"/>
        <color theme="1"/>
        <rFont val="Calibri"/>
        <family val="2"/>
      </rPr>
      <t>.s</t>
    </r>
    <r>
      <rPr>
        <vertAlign val="superscript"/>
        <sz val="11"/>
        <color theme="1"/>
        <rFont val="Calibri"/>
        <family val="2"/>
      </rPr>
      <t>-1</t>
    </r>
    <r>
      <rPr>
        <sz val="11"/>
        <color theme="1"/>
        <rFont val="Calibri"/>
        <family val="2"/>
      </rPr>
      <t>)</t>
    </r>
  </si>
  <si>
    <t>Section 3.3 [1]</t>
  </si>
  <si>
    <t>Eq (92) [1]</t>
  </si>
  <si>
    <t>Eq (90) [1]</t>
  </si>
  <si>
    <t>Eq (91) [1]</t>
  </si>
  <si>
    <t>References</t>
  </si>
  <si>
    <t>Adopted from Table 5 [1]</t>
  </si>
  <si>
    <t>gap width</t>
  </si>
  <si>
    <t>[2] http://www.mvps.org/dmcritchie/excel/formula.htm</t>
  </si>
  <si>
    <t>Eq (39) [1]</t>
  </si>
  <si>
    <t>Note: this workbook uses the GetFormula macro [2] to display formulas.</t>
  </si>
  <si>
    <t>Transverse and longitudinal diffusions for ions using generalized Einstein relations in [1]</t>
  </si>
  <si>
    <r>
      <t xml:space="preserve"> = N (m</t>
    </r>
    <r>
      <rPr>
        <vertAlign val="superscript"/>
        <sz val="11"/>
        <color theme="1"/>
        <rFont val="Calibri"/>
        <family val="2"/>
        <scheme val="minor"/>
      </rPr>
      <t>-3</t>
    </r>
    <r>
      <rPr>
        <sz val="11"/>
        <color theme="1"/>
        <rFont val="Calibri"/>
        <family val="2"/>
        <scheme val="minor"/>
      </rPr>
      <t>)</t>
    </r>
  </si>
  <si>
    <r>
      <t xml:space="preserve"> = α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(Td</t>
    </r>
    <r>
      <rPr>
        <vertAlign val="superscript"/>
        <sz val="11"/>
        <color theme="1"/>
        <rFont val="Calibri"/>
        <family val="2"/>
        <scheme val="minor"/>
      </rPr>
      <t>-2</t>
    </r>
    <r>
      <rPr>
        <sz val="11"/>
        <color theme="1"/>
        <rFont val="Calibri"/>
        <family val="2"/>
        <scheme val="minor"/>
      </rPr>
      <t>)</t>
    </r>
  </si>
  <si>
    <r>
      <t xml:space="preserve"> = α</t>
    </r>
    <r>
      <rPr>
        <vertAlign val="subscript"/>
        <sz val="11"/>
        <color theme="1"/>
        <rFont val="Calibri"/>
        <family val="2"/>
        <scheme val="minor"/>
      </rPr>
      <t xml:space="preserve">4 </t>
    </r>
    <r>
      <rPr>
        <sz val="11"/>
        <color theme="1"/>
        <rFont val="Calibri"/>
        <family val="2"/>
        <scheme val="minor"/>
      </rPr>
      <t>(Td</t>
    </r>
    <r>
      <rPr>
        <vertAlign val="superscript"/>
        <sz val="11"/>
        <color theme="1"/>
        <rFont val="Calibri"/>
        <family val="2"/>
        <scheme val="minor"/>
      </rPr>
      <t>-4</t>
    </r>
    <r>
      <rPr>
        <sz val="11"/>
        <color theme="1"/>
        <rFont val="Calibri"/>
        <family val="2"/>
        <scheme val="minor"/>
      </rPr>
      <t>)</t>
    </r>
  </si>
  <si>
    <r>
      <t xml:space="preserve"> = α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(V</t>
    </r>
    <r>
      <rPr>
        <vertAlign val="superscript"/>
        <sz val="11"/>
        <color theme="1"/>
        <rFont val="Calibri"/>
        <family val="2"/>
        <scheme val="minor"/>
      </rPr>
      <t>-2</t>
    </r>
    <r>
      <rPr>
        <sz val="11"/>
        <color theme="1"/>
        <rFont val="Calibri"/>
        <family val="2"/>
        <scheme val="minor"/>
      </rPr>
      <t>.m</t>
    </r>
    <r>
      <rPr>
        <vertAlign val="superscript"/>
        <sz val="11"/>
        <color theme="1"/>
        <rFont val="Calibri"/>
        <family val="2"/>
        <scheme val="minor"/>
      </rPr>
      <t>-4</t>
    </r>
    <r>
      <rPr>
        <sz val="11"/>
        <color theme="1"/>
        <rFont val="Calibri"/>
        <family val="2"/>
        <scheme val="minor"/>
      </rPr>
      <t>)</t>
    </r>
  </si>
  <si>
    <r>
      <t xml:space="preserve"> = α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(V</t>
    </r>
    <r>
      <rPr>
        <vertAlign val="superscript"/>
        <sz val="11"/>
        <color theme="1"/>
        <rFont val="Calibri"/>
        <family val="2"/>
        <scheme val="minor"/>
      </rPr>
      <t>-4</t>
    </r>
    <r>
      <rPr>
        <sz val="11"/>
        <color theme="1"/>
        <rFont val="Calibri"/>
        <family val="2"/>
        <scheme val="minor"/>
      </rPr>
      <t>.m</t>
    </r>
    <r>
      <rPr>
        <vertAlign val="superscript"/>
        <sz val="11"/>
        <color theme="1"/>
        <rFont val="Calibri"/>
        <family val="2"/>
        <scheme val="minor"/>
      </rPr>
      <t>-8</t>
    </r>
    <r>
      <rPr>
        <sz val="11"/>
        <color theme="1"/>
        <rFont val="Calibri"/>
        <family val="2"/>
        <scheme val="minor"/>
      </rPr>
      <t>)</t>
    </r>
  </si>
  <si>
    <t>note: Vl=375</t>
  </si>
  <si>
    <r>
      <t xml:space="preserve"> = k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 (JK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</si>
  <si>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note: compare to Ko</t>
  </si>
  <si>
    <t>(printed from SIMION)</t>
  </si>
  <si>
    <t>Eq (1) [1]</t>
  </si>
  <si>
    <t xml:space="preserve"> = V</t>
  </si>
  <si>
    <r>
      <t>Transverse diffusion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</si>
  <si>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Transverse Temperature</t>
  </si>
  <si>
    <t>[1] Waldman and Mason, Chemical Physics, Volume 58, Issue 1, 1 June 1981, 121144 "Generalized Einstein Relations from a Three-Temperature Theory of Gaseous Ion Transport" http://dx.doi.org/10.1016/0301-0104(81)80050-X</t>
  </si>
  <si>
    <t>[3] G.H. Wannier, Bell Syst. Tech J. 32 (1953) 170.  http://www.archive.org/details/bellsystemtechni32amerrich</t>
  </si>
  <si>
    <t>[4] Guevremont and Randy Purves (2004) doi:10.1016/j.jasms.2004.11.013</t>
  </si>
  <si>
    <t>Eq (6) [4]</t>
  </si>
  <si>
    <t>Compare results to Wannier [3] as reproduced in Eq (2) [1]   (shown only for comparison)</t>
  </si>
  <si>
    <t>Compare results to Einstein relation, i.e. isotropic diffusion (shown only for comparison)</t>
  </si>
  <si>
    <t>Eq (8) [4]</t>
  </si>
  <si>
    <t>Eq (7) [4]</t>
  </si>
  <si>
    <t>Eq (9) [4]</t>
  </si>
  <si>
    <t xml:space="preserve">Compare results to estimated formula in Guevremont and Purves [4]. (shown only for comparison)
</t>
  </si>
  <si>
    <t>note: k*E = v</t>
  </si>
  <si>
    <t>Results from Generalized Einsten (Waldman and Mason) [1]:</t>
  </si>
  <si>
    <t>question: did Wannier use the same expression for TL and TT here?</t>
  </si>
  <si>
    <t>Eq (2b) [1]</t>
  </si>
  <si>
    <t>Eq (2a) [1]</t>
  </si>
  <si>
    <t>Tests of various calculations of anistrotropic diffusion constants.</t>
  </si>
  <si>
    <t>There are multiple definitions/approximations of transverse and longitudinal temperature and diffusion.</t>
  </si>
  <si>
    <t>D.Manura, 2011-11-23</t>
  </si>
</sst>
</file>

<file path=xl/styles.xml><?xml version="1.0" encoding="utf-8"?>
<styleSheet xmlns="http://schemas.openxmlformats.org/spreadsheetml/2006/main">
  <fonts count="25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2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bscript"/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theme="1"/>
      <name val="Calibri"/>
      <family val="2"/>
    </font>
    <font>
      <sz val="16"/>
      <color theme="3" tint="0.39997558519241921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vertAlign val="superscript"/>
      <sz val="16"/>
      <color theme="9"/>
      <name val="Calibri"/>
      <family val="2"/>
      <scheme val="minor"/>
    </font>
    <font>
      <sz val="16"/>
      <color rgb="FF00B050"/>
      <name val="Calibri"/>
      <family val="2"/>
      <scheme val="minor"/>
    </font>
    <font>
      <sz val="16"/>
      <color rgb="FF00B050"/>
      <name val="Calibri"/>
      <family val="2"/>
    </font>
    <font>
      <vertAlign val="subscript"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i/>
      <sz val="16"/>
      <color theme="3" tint="0.39997558519241921"/>
      <name val="Calibri"/>
      <family val="2"/>
      <scheme val="minor"/>
    </font>
    <font>
      <vertAlign val="superscript"/>
      <sz val="11"/>
      <color theme="1"/>
      <name val="Calibri"/>
      <family val="2"/>
    </font>
    <font>
      <sz val="16"/>
      <color theme="3" tint="0.39997558519241921"/>
      <name val="Calibri"/>
      <family val="2"/>
    </font>
    <font>
      <sz val="16"/>
      <color theme="2" tint="-0.249977111117893"/>
      <name val="Calibri"/>
      <family val="2"/>
      <scheme val="minor"/>
    </font>
    <font>
      <i/>
      <sz val="16"/>
      <color theme="2" tint="-0.249977111117893"/>
      <name val="Calibri"/>
      <family val="2"/>
      <scheme val="minor"/>
    </font>
    <font>
      <sz val="16"/>
      <color theme="2" tint="-0.249977111117893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5" fillId="0" borderId="0" xfId="0" applyFont="1"/>
    <xf numFmtId="11" fontId="0" fillId="0" borderId="0" xfId="0" applyNumberForma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NumberFormat="1"/>
    <xf numFmtId="0" fontId="4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center"/>
    </xf>
    <xf numFmtId="0" fontId="0" fillId="0" borderId="0" xfId="0" applyAlignment="1"/>
    <xf numFmtId="0" fontId="23" fillId="0" borderId="0" xfId="0" applyNumberFormat="1" applyFont="1"/>
    <xf numFmtId="11" fontId="23" fillId="0" borderId="0" xfId="0" applyNumberFormat="1" applyFont="1"/>
    <xf numFmtId="2" fontId="23" fillId="0" borderId="0" xfId="0" applyNumberFormat="1" applyFont="1"/>
    <xf numFmtId="0" fontId="24" fillId="0" borderId="0" xfId="0" applyFont="1"/>
    <xf numFmtId="11" fontId="16" fillId="0" borderId="0" xfId="0" applyNumberFormat="1" applyFont="1"/>
    <xf numFmtId="11" fontId="0" fillId="0" borderId="0" xfId="0" applyNumberFormat="1" applyAlignment="1">
      <alignment horizontal="center"/>
    </xf>
    <xf numFmtId="11" fontId="0" fillId="0" borderId="0" xfId="0" applyNumberFormat="1" applyAlignment="1"/>
    <xf numFmtId="0" fontId="3" fillId="0" borderId="0" xfId="0" applyFont="1" applyAlignment="1"/>
    <xf numFmtId="11" fontId="0" fillId="0" borderId="0" xfId="0" applyNumberFormat="1" applyFont="1"/>
    <xf numFmtId="2" fontId="0" fillId="0" borderId="0" xfId="0" applyNumberFormat="1"/>
    <xf numFmtId="2" fontId="0" fillId="0" borderId="0" xfId="0" applyNumberFormat="1" applyFont="1"/>
    <xf numFmtId="2" fontId="0" fillId="0" borderId="0" xfId="0" applyNumberFormat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35"/>
  <sheetViews>
    <sheetView tabSelected="1" workbookViewId="0">
      <selection activeCell="C58" sqref="C58"/>
    </sheetView>
  </sheetViews>
  <sheetFormatPr defaultRowHeight="15"/>
  <cols>
    <col min="1" max="2" width="14.5703125" customWidth="1"/>
    <col min="3" max="3" width="24.140625" customWidth="1"/>
    <col min="4" max="4" width="18.5703125" customWidth="1"/>
    <col min="5" max="5" width="15.5703125" customWidth="1"/>
    <col min="6" max="6" width="11.28515625" customWidth="1"/>
    <col min="7" max="7" width="12.85546875" customWidth="1"/>
    <col min="8" max="8" width="12" bestFit="1" customWidth="1"/>
    <col min="10" max="11" width="12" bestFit="1" customWidth="1"/>
    <col min="12" max="12" width="10.7109375" customWidth="1"/>
    <col min="13" max="13" width="10.7109375" bestFit="1" customWidth="1"/>
    <col min="14" max="14" width="13.28515625" customWidth="1"/>
    <col min="16" max="16" width="13.5703125" customWidth="1"/>
    <col min="17" max="17" width="21.85546875" customWidth="1"/>
    <col min="18" max="18" width="18.85546875" customWidth="1"/>
  </cols>
  <sheetData>
    <row r="1" spans="1:6">
      <c r="A1" t="s">
        <v>55</v>
      </c>
    </row>
    <row r="2" spans="1:6">
      <c r="A2" t="s">
        <v>56</v>
      </c>
    </row>
    <row r="3" spans="1:6">
      <c r="A3" t="s">
        <v>57</v>
      </c>
    </row>
    <row r="5" spans="1:6">
      <c r="A5" t="s">
        <v>26</v>
      </c>
    </row>
    <row r="7" spans="1:6">
      <c r="A7" t="s">
        <v>51</v>
      </c>
    </row>
    <row r="8" spans="1:6" ht="24.75">
      <c r="B8" s="1" t="s">
        <v>8</v>
      </c>
    </row>
    <row r="9" spans="1:6">
      <c r="A9" s="14">
        <f ca="1" xml:space="preserve"> (A53+(A54/A55)*A56*A57)/kb</f>
        <v>586.42706911626431</v>
      </c>
      <c r="B9" t="str">
        <f>" = TL (K) "&amp;GetFormula(TL)</f>
        <v xml:space="preserve"> = TL (K) = (A53+(A54/A55)*A56*A57)/kb</v>
      </c>
      <c r="D9" t="s">
        <v>4</v>
      </c>
      <c r="F9" t="s">
        <v>17</v>
      </c>
    </row>
    <row r="10" spans="1:6">
      <c r="A10" s="14">
        <f xml:space="preserve"> (A53+((m+mm)*Ã/A55)*A56)/kb</f>
        <v>424.12616746383611</v>
      </c>
      <c r="B10" t="str">
        <f>" = TT (K) "&amp;GetFormula(A10)</f>
        <v xml:space="preserve"> = TT (K) = (A53+((m+mm)*Ã/A55)*A56)/kb</v>
      </c>
      <c r="D10" t="s">
        <v>39</v>
      </c>
    </row>
    <row r="11" spans="1:6" ht="17.25">
      <c r="A11" s="15">
        <f ca="1" xml:space="preserve"> (kb*TL*(1+(1+ΔL)*Kp))*K/q</f>
        <v>1.4400351979114765E-5</v>
      </c>
      <c r="B11" t="str">
        <f>" = DL "&amp;GetFormula(DL)</f>
        <v xml:space="preserve"> = DL = (kb*TL*(1+(1+ΔL)*Kp))*K/q</v>
      </c>
      <c r="D11" t="s">
        <v>5</v>
      </c>
      <c r="F11" t="s">
        <v>18</v>
      </c>
    </row>
    <row r="12" spans="1:6" ht="17.25">
      <c r="A12" s="15">
        <f ca="1" xml:space="preserve"> kb*TT*(1+ΔT*Kp*(2+Kp)^-1)*K/q</f>
        <v>9.384592206517354E-6</v>
      </c>
      <c r="B12" t="str">
        <f>" = DT " &amp; GetFormula(DT)</f>
        <v xml:space="preserve"> = DT = kb*TT*(1+ΔT*Kp*(2+Kp)^-1)*K/q</v>
      </c>
      <c r="D12" t="s">
        <v>38</v>
      </c>
      <c r="F12" t="s">
        <v>19</v>
      </c>
    </row>
    <row r="13" spans="1:6" ht="18">
      <c r="A13" s="16">
        <f ca="1" xml:space="preserve"> DL/DT</f>
        <v>1.5344675253032409</v>
      </c>
      <c r="B13" t="str">
        <f>" "&amp;GetFormula(A13)</f>
        <v xml:space="preserve"> = DL/DT</v>
      </c>
      <c r="C13" t="s">
        <v>6</v>
      </c>
    </row>
    <row r="14" spans="1:6">
      <c r="A14" s="16"/>
    </row>
    <row r="15" spans="1:6">
      <c r="A15" s="25" t="s">
        <v>49</v>
      </c>
    </row>
    <row r="16" spans="1:6">
      <c r="A16" s="24">
        <f>(A53 +(1/3)*(4*m+mm)/(2*m+mm)*A56)/kb</f>
        <v>605.14193165039933</v>
      </c>
      <c r="B16" t="str">
        <f>" = TL (K) est "&amp;GetFormula(A16)</f>
        <v xml:space="preserve"> = TL (K) est =(A53 +(1/3)*(4*m+mm)/(2*m+mm)*A56)/kb</v>
      </c>
      <c r="F16" t="s">
        <v>43</v>
      </c>
    </row>
    <row r="17" spans="1:12">
      <c r="A17" s="24">
        <f>(A53 +(1/3)*(m+mm)/(2*m+mm)*A56)/kb</f>
        <v>402.93944682182143</v>
      </c>
      <c r="B17" t="str">
        <f>" = TT (K) est"&amp;GetFormula(A17)</f>
        <v xml:space="preserve"> = TT (K) est=(A53 +(1/3)*(m+mm)/(2*m+mm)*A56)/kb</v>
      </c>
      <c r="F17" t="s">
        <v>47</v>
      </c>
    </row>
    <row r="18" spans="1:12">
      <c r="A18" s="22">
        <f xml:space="preserve"> kb*A16*(K/q)*(1+Kp)</f>
        <v>1.469534265554047E-5</v>
      </c>
      <c r="B18" t="str">
        <f xml:space="preserve"> " = DL est " &amp; GetFormula(A18)</f>
        <v xml:space="preserve"> = DL est = kb*A16*(K/q)*(1+Kp)</v>
      </c>
      <c r="F18" t="s">
        <v>46</v>
      </c>
    </row>
    <row r="19" spans="1:12">
      <c r="A19" s="22">
        <f xml:space="preserve"> kb*A17*(K/q)</f>
        <v>8.8613986722906981E-6</v>
      </c>
      <c r="B19" t="str">
        <f xml:space="preserve"> " = DT est " &amp; GetFormula(A19)</f>
        <v xml:space="preserve"> = DT est = kb*A17*(K/q)</v>
      </c>
      <c r="F19" t="s">
        <v>48</v>
      </c>
    </row>
    <row r="20" spans="1:12" ht="18">
      <c r="A20" s="22">
        <f>A18/A19</f>
        <v>1.658354758543064</v>
      </c>
      <c r="B20" t="str">
        <f>" "&amp;GetFormula(A20)</f>
        <v xml:space="preserve"> =A18/A19</v>
      </c>
      <c r="C20" t="s">
        <v>6</v>
      </c>
    </row>
    <row r="21" spans="1:12">
      <c r="A21" s="16"/>
    </row>
    <row r="22" spans="1:12">
      <c r="A22" s="23" t="s">
        <v>44</v>
      </c>
    </row>
    <row r="23" spans="1:12">
      <c r="A23" s="22">
        <f ca="1" xml:space="preserve"> kb*TL*(K/q)*(1+Kp)</f>
        <v>1.4240868583746457E-5</v>
      </c>
      <c r="B23" t="str">
        <f xml:space="preserve"> GetFormula(A23) &amp;" = DL wannier, assuming TL from Waldman"</f>
        <v>= kb*TL*(K/q)*(1+Kp) = DL wannier, assuming TL from Waldman</v>
      </c>
      <c r="F23" t="s">
        <v>53</v>
      </c>
    </row>
    <row r="24" spans="1:12">
      <c r="A24" s="22">
        <f xml:space="preserve"> kb*TT*(K/q)</f>
        <v>9.3273346327635942E-6</v>
      </c>
      <c r="B24" t="str">
        <f>GetFormula(A24)&amp;" = DT wannier, assuming TT from Waldman"</f>
        <v>= kb*TT*(K/q) = DT wannier, assuming TT from Waldman</v>
      </c>
      <c r="F24" t="s">
        <v>54</v>
      </c>
    </row>
    <row r="25" spans="1:12" ht="18">
      <c r="A25" s="23">
        <f ca="1" xml:space="preserve"> A23/A24</f>
        <v>1.5267886426764805</v>
      </c>
      <c r="B25" t="str">
        <f>GetFormula(A25)</f>
        <v>= A23/A24</v>
      </c>
      <c r="C25" t="s">
        <v>6</v>
      </c>
    </row>
    <row r="26" spans="1:12">
      <c r="A26" s="23"/>
      <c r="B26" t="s">
        <v>52</v>
      </c>
    </row>
    <row r="27" spans="1:12">
      <c r="A27" s="23"/>
    </row>
    <row r="28" spans="1:12">
      <c r="A28" s="23" t="s">
        <v>45</v>
      </c>
      <c r="F28" t="s">
        <v>36</v>
      </c>
    </row>
    <row r="29" spans="1:12">
      <c r="A29" s="2">
        <f>kb*T*K/q</f>
        <v>6.5975660180591707E-6</v>
      </c>
      <c r="B29" t="str">
        <f>" "&amp;GetFormula(A29)&amp;" = D isotropic"</f>
        <v xml:space="preserve"> =kb*T*K/q = D isotropic</v>
      </c>
    </row>
    <row r="30" spans="1:12">
      <c r="A30" s="2"/>
    </row>
    <row r="31" spans="1:12">
      <c r="A31" s="2">
        <v>1.602E-19</v>
      </c>
      <c r="B31" t="s">
        <v>9</v>
      </c>
      <c r="E31" s="13" t="s">
        <v>21</v>
      </c>
      <c r="F31" s="12"/>
      <c r="G31" s="12"/>
      <c r="H31" s="12"/>
    </row>
    <row r="32" spans="1:12" ht="18.75">
      <c r="A32" s="2">
        <v>1.3806504000000001E-23</v>
      </c>
      <c r="B32" t="s">
        <v>33</v>
      </c>
      <c r="E32" t="s">
        <v>0</v>
      </c>
      <c r="F32" s="4" t="s">
        <v>2</v>
      </c>
      <c r="G32" s="4" t="s">
        <v>3</v>
      </c>
      <c r="H32" s="4" t="s">
        <v>1</v>
      </c>
      <c r="L32" s="2"/>
    </row>
    <row r="33" spans="1:14">
      <c r="A33">
        <v>300</v>
      </c>
      <c r="B33" t="s">
        <v>10</v>
      </c>
      <c r="E33">
        <v>0.1</v>
      </c>
      <c r="F33">
        <v>2.8899999999999999E-2</v>
      </c>
      <c r="G33">
        <v>-0.05</v>
      </c>
      <c r="H33">
        <v>0.06</v>
      </c>
    </row>
    <row r="34" spans="1:14">
      <c r="A34">
        <v>55</v>
      </c>
      <c r="B34" t="s">
        <v>11</v>
      </c>
      <c r="E34">
        <v>0.2</v>
      </c>
      <c r="F34">
        <v>0.128</v>
      </c>
      <c r="G34">
        <v>5.0999999999999997E-2</v>
      </c>
      <c r="H34">
        <v>0.22</v>
      </c>
    </row>
    <row r="35" spans="1:14">
      <c r="A35">
        <v>29</v>
      </c>
      <c r="B35" t="s">
        <v>12</v>
      </c>
      <c r="E35">
        <v>0.3</v>
      </c>
      <c r="F35">
        <v>0.183</v>
      </c>
      <c r="G35">
        <v>0.124</v>
      </c>
      <c r="H35">
        <v>0.39</v>
      </c>
    </row>
    <row r="36" spans="1:14">
      <c r="A36">
        <f xml:space="preserve"> m__u/6.022E+26</f>
        <v>9.1331783460644304E-26</v>
      </c>
      <c r="B36" t="str">
        <f>" = m (kg) "&amp;GetFormula(m)</f>
        <v xml:space="preserve"> = m (kg) = m__u/6.022E+26</v>
      </c>
      <c r="E36">
        <v>0.4</v>
      </c>
      <c r="F36">
        <v>0.187</v>
      </c>
      <c r="G36">
        <v>0.161</v>
      </c>
      <c r="H36">
        <v>0.56999999999999995</v>
      </c>
      <c r="J36" s="17"/>
    </row>
    <row r="37" spans="1:14">
      <c r="A37">
        <f xml:space="preserve"> mm__u/6.022E+26</f>
        <v>4.8156758551976088E-26</v>
      </c>
      <c r="B37" t="str">
        <f>" = M (kg) "&amp;GetFormula(mm)</f>
        <v xml:space="preserve"> = M (kg) = mm__u/6.022E+26</v>
      </c>
      <c r="E37">
        <v>0.5</v>
      </c>
      <c r="F37">
        <v>0.16900000000000001</v>
      </c>
      <c r="G37">
        <v>0.16400000000000001</v>
      </c>
      <c r="H37">
        <v>0.72</v>
      </c>
    </row>
    <row r="38" spans="1:14" ht="18">
      <c r="A38">
        <v>0.85</v>
      </c>
      <c r="B38" s="3" t="s">
        <v>13</v>
      </c>
      <c r="C38" t="s">
        <v>16</v>
      </c>
      <c r="E38">
        <v>0.6</v>
      </c>
      <c r="F38">
        <v>0.14000000000000001</v>
      </c>
      <c r="G38">
        <v>0.14199999999999999</v>
      </c>
      <c r="H38">
        <v>0.82</v>
      </c>
    </row>
    <row r="39" spans="1:14">
      <c r="A39" s="2">
        <v>5.0000000000000001E-4</v>
      </c>
      <c r="B39" s="3" t="s">
        <v>14</v>
      </c>
      <c r="C39" t="s">
        <v>22</v>
      </c>
      <c r="E39">
        <v>0.7</v>
      </c>
      <c r="F39">
        <v>0.10100000000000001</v>
      </c>
      <c r="G39">
        <v>0.109</v>
      </c>
      <c r="H39">
        <v>0.9</v>
      </c>
      <c r="K39" s="18"/>
      <c r="N39" s="2"/>
    </row>
    <row r="40" spans="1:14">
      <c r="A40">
        <v>750</v>
      </c>
      <c r="B40" s="3" t="s">
        <v>37</v>
      </c>
      <c r="C40" t="s">
        <v>32</v>
      </c>
      <c r="E40">
        <v>0.8</v>
      </c>
      <c r="F40">
        <v>0.06</v>
      </c>
      <c r="G40">
        <v>7.0000000000000007E-2</v>
      </c>
      <c r="H40">
        <v>0.96</v>
      </c>
      <c r="K40" s="5"/>
    </row>
    <row r="41" spans="1:14" ht="18.75">
      <c r="A41" s="2">
        <v>2.4000000000000001E-4</v>
      </c>
      <c r="B41" s="21" t="s">
        <v>15</v>
      </c>
      <c r="E41">
        <v>0.9</v>
      </c>
      <c r="F41">
        <v>2.5000000000000001E-2</v>
      </c>
      <c r="G41">
        <v>3.3000000000000002E-2</v>
      </c>
      <c r="H41">
        <v>0.99</v>
      </c>
    </row>
    <row r="42" spans="1:14" ht="18.75">
      <c r="A42" s="2">
        <v>1.7799999999999999E-5</v>
      </c>
      <c r="B42" t="s">
        <v>28</v>
      </c>
      <c r="E42">
        <v>1</v>
      </c>
      <c r="F42">
        <v>0</v>
      </c>
      <c r="G42">
        <v>0</v>
      </c>
      <c r="H42">
        <v>1</v>
      </c>
    </row>
    <row r="43" spans="1:14" ht="18.75">
      <c r="A43" s="2">
        <v>-4.9099999999999996E-10</v>
      </c>
      <c r="B43" s="13" t="s">
        <v>29</v>
      </c>
      <c r="E43" t="s">
        <v>7</v>
      </c>
    </row>
    <row r="44" spans="1:14" ht="18.75">
      <c r="A44" s="2">
        <f>α2_Td*(10^17*100^2)^2</f>
        <v>1.78E+37</v>
      </c>
      <c r="B44" s="20" t="s">
        <v>30</v>
      </c>
      <c r="C44" s="2"/>
      <c r="D44" s="19"/>
      <c r="E44">
        <f>m/(m+mm)</f>
        <v>0.65476190476190477</v>
      </c>
      <c r="F44">
        <f ca="1">FORECAST($E$44,OFFSET(F$33:F$34,MATCH($E$44,$E$33:$E$42,1)-1,0),OFFSET($E$33:$E$34,MATCH($E$44,$E$33:$E$42,1)-1,0))</f>
        <v>0.11864285714285705</v>
      </c>
      <c r="G44">
        <f ca="1">FORECAST($E$44,OFFSET(G$33:G$34,MATCH($E$44,$E$33:$E$42,1)-1,0),OFFSET($E$33:$E$34,MATCH($E$44,$E$33:$E$42,1)-1,0))</f>
        <v>0.12392857142857139</v>
      </c>
      <c r="H44">
        <f ca="1">FORECAST($E$44,OFFSET(H$33:H$34,MATCH($E$44,$E$33:$E$42,1)-1,0),OFFSET($E$33:$E$34,MATCH($E$44,$E$33:$E$42,1)-1,0))</f>
        <v>0.8638095238095238</v>
      </c>
    </row>
    <row r="45" spans="1:14" ht="18.75">
      <c r="A45" s="2">
        <f>α4_Td*(10^17*100^2)^4</f>
        <v>-4.9100000000000001E+74</v>
      </c>
      <c r="B45" s="20" t="s">
        <v>31</v>
      </c>
      <c r="C45" s="2"/>
      <c r="D45" s="19"/>
    </row>
    <row r="46" spans="1:14">
      <c r="A46" s="2">
        <f xml:space="preserve"> Ko*(1 + α2*EoverN^2 + α4*EoverN^4)</f>
        <v>2.5517685386855331E-4</v>
      </c>
      <c r="B46" t="str">
        <f>" = K (V.m-2.s-1) "&amp;GetFormula(K)</f>
        <v xml:space="preserve"> = K (V.m-2.s-1) = Ko*(1 + α2*EoverN^2 + α4*EoverN^4)</v>
      </c>
      <c r="E46" t="s">
        <v>34</v>
      </c>
    </row>
    <row r="47" spans="1:14" ht="17.25">
      <c r="A47" s="2">
        <v>2.374E+25</v>
      </c>
      <c r="B47" s="13" t="s">
        <v>27</v>
      </c>
      <c r="C47" s="2" t="s">
        <v>35</v>
      </c>
      <c r="D47" s="19"/>
    </row>
    <row r="48" spans="1:14">
      <c r="A48" s="2">
        <f xml:space="preserve"> V/g/N</f>
        <v>6.3184498736310022E-20</v>
      </c>
      <c r="B48" s="13" t="str">
        <f>" = E/N (Vm2) "&amp;GetFormula(EoverN)</f>
        <v xml:space="preserve"> = E/N (Vm2) = V/g/N</v>
      </c>
      <c r="C48" s="2"/>
      <c r="D48" s="19"/>
    </row>
    <row r="49" spans="1:8">
      <c r="A49" s="2">
        <f xml:space="preserve"> V/g</f>
        <v>1500000</v>
      </c>
      <c r="B49" t="str">
        <f>" = E (V/m) "&amp;GetFormula(E)</f>
        <v xml:space="preserve"> = E (V/m) = V/g</v>
      </c>
    </row>
    <row r="50" spans="1:8">
      <c r="A50" s="5">
        <f>(2*α2*EoverN^2+4*α4*EoverN^4) / (1 + α2*EoverN^2 + α4*EoverN^4)</f>
        <v>0.10423111354927128</v>
      </c>
      <c r="B50" t="str">
        <f>" = K' (unitless) = d(ln(K(E/N)))/d(ln(E/N)) " &amp; GetFormula(Kp)</f>
        <v xml:space="preserve"> = K' (unitless) = d(ln(K(E/N)))/d(ln(E/N)) =(2*α2*EoverN^2+4*α4*EoverN^4) / (1 + α2*EoverN^2 + α4*EoverN^4)</v>
      </c>
      <c r="H50" t="s">
        <v>24</v>
      </c>
    </row>
    <row r="51" spans="1:8">
      <c r="A51">
        <f xml:space="preserve"> α2*EoverN^2</f>
        <v>7.1062599673945973E-2</v>
      </c>
      <c r="B51" t="str">
        <f>" "&amp;GetFormula(A51) &amp;" (unitless)"</f>
        <v xml:space="preserve"> = α2*EoverN^2 (unitless)</v>
      </c>
    </row>
    <row r="52" spans="1:8">
      <c r="A52">
        <f xml:space="preserve"> α4*EoverN^4</f>
        <v>-7.8257085549740483E-3</v>
      </c>
      <c r="B52" t="str">
        <f>" "&amp;GetFormula(A52) &amp;" (unitless)"</f>
        <v xml:space="preserve"> = α4*EoverN^4 (unitless)</v>
      </c>
    </row>
    <row r="53" spans="1:8">
      <c r="A53" s="2">
        <f xml:space="preserve"> kb*T</f>
        <v>4.1419512000000006E-21</v>
      </c>
      <c r="B53" s="11" t="str">
        <f>" "&amp;GetFormula(A53)</f>
        <v xml:space="preserve"> = kb*T</v>
      </c>
    </row>
    <row r="54" spans="1:8">
      <c r="A54">
        <f xml:space="preserve"> 4*m - (2*m-mm)*Ã</f>
        <v>2.5099634672866159E-25</v>
      </c>
      <c r="B54" s="10" t="str">
        <f>" "&amp;GetFormula(A54)</f>
        <v xml:space="preserve"> = 4*m - (2*m-mm)*Ã</v>
      </c>
      <c r="C54" s="6"/>
    </row>
    <row r="55" spans="1:8">
      <c r="A55">
        <f xml:space="preserve"> 4*m + 3*mm*Ã</f>
        <v>4.8812686815011624E-25</v>
      </c>
      <c r="B55" s="9" t="str">
        <f>" "&amp;GetFormula(A55)</f>
        <v xml:space="preserve"> = 4*m + 3*mm*Ã</v>
      </c>
    </row>
    <row r="56" spans="1:8">
      <c r="A56" s="2">
        <f xml:space="preserve"> mm*(K*E)^2</f>
        <v>7.0554110685054958E-21</v>
      </c>
      <c r="B56" s="8" t="str">
        <f>" "&amp;GetFormula(A56)</f>
        <v xml:space="preserve"> = mm*(K*E)^2</v>
      </c>
      <c r="C56" t="s">
        <v>50</v>
      </c>
    </row>
    <row r="57" spans="1:8">
      <c r="A57">
        <f ca="1" xml:space="preserve"> 1 + β*Kp</f>
        <v>1.0900358285611325</v>
      </c>
      <c r="B57" s="7" t="str">
        <f>" "&amp;GetFormula(A57)</f>
        <v xml:space="preserve"> = 1 + β*Kp</v>
      </c>
    </row>
    <row r="60" spans="1:8">
      <c r="A60" t="s">
        <v>25</v>
      </c>
    </row>
    <row r="62" spans="1:8">
      <c r="A62" t="s">
        <v>20</v>
      </c>
    </row>
    <row r="63" spans="1:8">
      <c r="A63" t="s">
        <v>40</v>
      </c>
    </row>
    <row r="64" spans="1:8">
      <c r="A64" t="s">
        <v>23</v>
      </c>
    </row>
    <row r="65" spans="1:1">
      <c r="A65" t="s">
        <v>41</v>
      </c>
    </row>
    <row r="66" spans="1:1">
      <c r="A66" t="s">
        <v>42</v>
      </c>
    </row>
    <row r="135" spans="7:7">
      <c r="G135">
        <v>44000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F22" sqref="F22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Sheet1</vt:lpstr>
      <vt:lpstr>Sheet2</vt:lpstr>
      <vt:lpstr>Sheet3</vt:lpstr>
      <vt:lpstr>Ã</vt:lpstr>
      <vt:lpstr>DL</vt:lpstr>
      <vt:lpstr>DT</vt:lpstr>
      <vt:lpstr>E</vt:lpstr>
      <vt:lpstr>EoverN</vt:lpstr>
      <vt:lpstr>g</vt:lpstr>
      <vt:lpstr>K</vt:lpstr>
      <vt:lpstr>kb</vt:lpstr>
      <vt:lpstr>Ko</vt:lpstr>
      <vt:lpstr>Kp</vt:lpstr>
      <vt:lpstr>m</vt:lpstr>
      <vt:lpstr>m__u</vt:lpstr>
      <vt:lpstr>mm</vt:lpstr>
      <vt:lpstr>mm__u</vt:lpstr>
      <vt:lpstr>N</vt:lpstr>
      <vt:lpstr>q</vt:lpstr>
      <vt:lpstr>T</vt:lpstr>
      <vt:lpstr>TL</vt:lpstr>
      <vt:lpstr>TT</vt:lpstr>
      <vt:lpstr>V</vt:lpstr>
      <vt:lpstr>α2</vt:lpstr>
      <vt:lpstr>α2_Td</vt:lpstr>
      <vt:lpstr>α4</vt:lpstr>
      <vt:lpstr>α4_Td</vt:lpstr>
      <vt:lpstr>β</vt:lpstr>
      <vt:lpstr>ΔL</vt:lpstr>
      <vt:lpstr>ΔT</vt:lpstr>
    </vt:vector>
  </TitlesOfParts>
  <Company>Pacific Northwest Versions panel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Prasad, Satendra</dc:creator>
  <cp:lastModifiedBy>dm</cp:lastModifiedBy>
  <dcterms:created xsi:type="dcterms:W3CDTF">2009-08-04T18:26:35Z</dcterms:created>
  <dcterms:modified xsi:type="dcterms:W3CDTF">2011-11-28T22:54:56Z</dcterms:modified>
</cp:coreProperties>
</file>